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n\Documents\sources\convergence\tangent-contracts\js-scripts\hardhat\tgUSD\data\"/>
    </mc:Choice>
  </mc:AlternateContent>
  <xr:revisionPtr revIDLastSave="0" documentId="13_ncr:1_{632EF530-CF40-4B75-AD9A-B55089425028}" xr6:coauthVersionLast="47" xr6:coauthVersionMax="47" xr10:uidLastSave="{00000000-0000-0000-0000-000000000000}"/>
  <bookViews>
    <workbookView xWindow="28680" yWindow="-120" windowWidth="29040" windowHeight="15720" xr2:uid="{E9F601F2-9AED-49E3-BCCB-577F36FB7360}"/>
  </bookViews>
  <sheets>
    <sheet name="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 a="1"/>
  <c r="N48" i="1" s="1"/>
  <c r="N51" i="1" a="1"/>
  <c r="N51" i="1" s="1"/>
  <c r="N49" i="1" a="1"/>
  <c r="N49" i="1" s="1"/>
  <c r="N47" i="1" a="1"/>
  <c r="N47" i="1" s="1"/>
  <c r="N46" i="1" a="1"/>
  <c r="N46" i="1" s="1"/>
  <c r="N45" i="1" a="1"/>
  <c r="N45" i="1" s="1"/>
  <c r="N44" i="1" a="1"/>
  <c r="N44" i="1" s="1"/>
  <c r="N43" i="1" a="1"/>
  <c r="N43" i="1" s="1"/>
  <c r="N42" i="1" a="1"/>
  <c r="N42" i="1" s="1"/>
  <c r="N41" i="1" a="1"/>
  <c r="N41" i="1" s="1"/>
  <c r="N40" i="1" a="1"/>
  <c r="N40" i="1" s="1"/>
  <c r="N39" i="1" a="1"/>
  <c r="N39" i="1" s="1"/>
  <c r="N38" i="1" a="1"/>
  <c r="N38" i="1" s="1"/>
  <c r="N37" i="1" a="1"/>
  <c r="N37" i="1" s="1"/>
  <c r="N36" i="1" a="1"/>
  <c r="N36" i="1" s="1"/>
  <c r="N35" i="1" a="1"/>
  <c r="N35" i="1" s="1"/>
  <c r="N34" i="1" a="1"/>
  <c r="N34" i="1" s="1"/>
  <c r="N33" i="1" a="1"/>
  <c r="N33" i="1" s="1"/>
  <c r="N32" i="1" a="1"/>
  <c r="N32" i="1" s="1"/>
  <c r="N31" i="1" a="1"/>
  <c r="N31" i="1" s="1"/>
  <c r="N30" i="1" a="1"/>
  <c r="N30" i="1" s="1"/>
  <c r="N29" i="1" a="1"/>
  <c r="N29" i="1" s="1"/>
  <c r="N28" i="1" a="1"/>
  <c r="N28" i="1" s="1"/>
  <c r="N27" i="1" a="1"/>
  <c r="N27" i="1" s="1"/>
  <c r="N26" i="1" a="1"/>
  <c r="N26" i="1" s="1"/>
  <c r="N25" i="1" a="1"/>
  <c r="N25" i="1" s="1"/>
  <c r="N24" i="1" a="1"/>
  <c r="N24" i="1" s="1"/>
  <c r="N23" i="1" a="1"/>
  <c r="N23" i="1" s="1"/>
  <c r="N22" i="1" a="1"/>
  <c r="N22" i="1" s="1"/>
  <c r="N21" i="1" a="1"/>
  <c r="N21" i="1" s="1"/>
  <c r="N20" i="1" a="1"/>
  <c r="N20" i="1" s="1"/>
  <c r="N19" i="1" a="1"/>
  <c r="N19" i="1" s="1"/>
  <c r="N18" i="1" a="1"/>
  <c r="N18" i="1" s="1"/>
  <c r="N17" i="1" a="1"/>
  <c r="N17" i="1" s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N8" i="1" a="1"/>
  <c r="N8" i="1" s="1"/>
  <c r="N7" i="1" a="1"/>
  <c r="N7" i="1" s="1"/>
  <c r="N6" i="1" a="1"/>
  <c r="N6" i="1" s="1"/>
  <c r="N5" i="1" a="1"/>
  <c r="N5" i="1" s="1"/>
  <c r="N4" i="1" a="1"/>
  <c r="N4" i="1" s="1"/>
  <c r="N3" i="1" a="1"/>
  <c r="N3" i="1" s="1"/>
  <c r="N2" i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<sst xmlns="http://schemas.openxmlformats.org/spreadsheetml/2006/main" count="397" uniqueCount="64">
  <si>
    <t xml:space="preserve">START </t>
  </si>
  <si>
    <t>OUT1</t>
  </si>
  <si>
    <t>POOL2</t>
  </si>
  <si>
    <t>OUT2</t>
  </si>
  <si>
    <t>POOL3</t>
  </si>
  <si>
    <t>OUT3</t>
  </si>
  <si>
    <t>POOL4</t>
  </si>
  <si>
    <t>OUT4</t>
  </si>
  <si>
    <t>USDC/fxUSD</t>
  </si>
  <si>
    <t>USDC</t>
  </si>
  <si>
    <t>deUSD/USDC</t>
  </si>
  <si>
    <t>deUSD</t>
  </si>
  <si>
    <t>deUSD/DOLA</t>
  </si>
  <si>
    <t>DOLA</t>
  </si>
  <si>
    <t>crvUSD/USDC</t>
  </si>
  <si>
    <t>crvUSD</t>
  </si>
  <si>
    <t>USR/USDC</t>
  </si>
  <si>
    <t>USR</t>
  </si>
  <si>
    <t>USDC/USDe</t>
  </si>
  <si>
    <t>USDe</t>
  </si>
  <si>
    <t>FRAX/USDC</t>
  </si>
  <si>
    <t>FRAX</t>
  </si>
  <si>
    <t>FRAX/frxUSD</t>
  </si>
  <si>
    <t>frxUSD</t>
  </si>
  <si>
    <t>USDC/crvUSD</t>
  </si>
  <si>
    <t>crvUSD/DOLA</t>
  </si>
  <si>
    <t>USDT/crvUSD</t>
  </si>
  <si>
    <t>USDT</t>
  </si>
  <si>
    <t>USDT/USDC</t>
  </si>
  <si>
    <t>crvUSD/FRAX</t>
  </si>
  <si>
    <t>sDAI/sUSDe</t>
  </si>
  <si>
    <t>sUSDe</t>
  </si>
  <si>
    <t>DOLA/sUSDe</t>
  </si>
  <si>
    <t>scrvUSD/sUSDe</t>
  </si>
  <si>
    <t>scrvUSD</t>
  </si>
  <si>
    <t>DOLA/USR</t>
  </si>
  <si>
    <t>sDAI</t>
  </si>
  <si>
    <t>sDAI/FRAX</t>
  </si>
  <si>
    <t>USDC/USDT</t>
  </si>
  <si>
    <t>deUSD/USDT</t>
  </si>
  <si>
    <t>crvUSD/USDT</t>
  </si>
  <si>
    <t>USR/RLP</t>
  </si>
  <si>
    <t>frxUSD/USDe</t>
  </si>
  <si>
    <t>sUSDS/frxUSD</t>
  </si>
  <si>
    <t>sUSDS</t>
  </si>
  <si>
    <t>DOLA/sUSDS</t>
  </si>
  <si>
    <t>crvUSD/USDe</t>
  </si>
  <si>
    <t>DOLA/scrvUSD</t>
  </si>
  <si>
    <t>scrvUSD/sUSDS</t>
  </si>
  <si>
    <t>POOL5</t>
  </si>
  <si>
    <t>OUT5</t>
  </si>
  <si>
    <t>wDOLA*</t>
  </si>
  <si>
    <t>tgUSD-wDOLA*</t>
  </si>
  <si>
    <t>tgUSD*</t>
  </si>
  <si>
    <t>wcrvUSD*</t>
  </si>
  <si>
    <t>wUSR*</t>
  </si>
  <si>
    <t>wUSDe*</t>
  </si>
  <si>
    <t>tgUSD-wcrvUSD*</t>
  </si>
  <si>
    <t>tgUSD-wUSR*</t>
  </si>
  <si>
    <t>tgUSD-wUSDe*</t>
  </si>
  <si>
    <t>wfrxUSD*</t>
  </si>
  <si>
    <t>tgUSD-wfrxUSD*</t>
  </si>
  <si>
    <t>tgUSD-USDC*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</si>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</sst>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5117038483843"/>
        <bgColor rgb="FFFF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4" fillId="33" borderId="0" xfId="0" applyFont="1" applyFill="1"/>
    <xf numFmtId="0" fontId="14" fillId="0" borderId="0" xfId="0" applyFon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5477-6C4C-45A7-BD77-13FFDC2DA2A5}">
  <dimension ref="A1:W51"/>
  <sheetViews>
    <sheetView tabSelected="1" topLeftCell="A16" workbookViewId="0">
      <selection activeCell="R42" sqref="R42"/>
    </sheetView>
  </sheetViews>
  <sheetFormatPr baseColWidth="10" defaultRowHeight="15" x14ac:dyDescent="0.25"/>
  <cols>
    <col min="1" max="1" width="14.42578125" bestFit="1" customWidth="1"/>
    <col min="3" max="3" width="14.42578125" bestFit="1" customWidth="1"/>
    <col min="4" max="4" width="8.140625" bestFit="1" customWidth="1"/>
    <col min="5" max="5" width="13" bestFit="1" customWidth="1"/>
    <col min="6" max="6" width="9.5703125" bestFit="1" customWidth="1"/>
    <col min="7" max="7" width="15.42578125" bestFit="1" customWidth="1"/>
    <col min="9" max="9" width="16.5703125" customWidth="1"/>
    <col min="10" max="10" width="19.42578125" customWidth="1"/>
    <col min="11" max="11" width="15" style="1" bestFit="1" customWidth="1"/>
    <col min="12" max="12" width="11.42578125" style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49</v>
      </c>
      <c r="J1" t="s">
        <v>50</v>
      </c>
      <c r="N1" t="s">
        <v>63</v>
      </c>
    </row>
    <row r="2" spans="1:14" x14ac:dyDescent="0.25">
      <c r="A2" t="s">
        <v>8</v>
      </c>
      <c r="B2" t="s">
        <v>9</v>
      </c>
      <c r="C2" t="s">
        <v>62</v>
      </c>
      <c r="D2" t="s">
        <v>53</v>
      </c>
      <c r="N2" t="str" cm="1">
        <f t="array" ref="N2">INDEX(D2:M2, MAX(IF(D2:M2&lt;&gt;"", COLUMN(D2:M2)-COLUMN(D2)+1)))</f>
        <v>tgUSD*</v>
      </c>
    </row>
    <row r="3" spans="1:14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51</v>
      </c>
      <c r="H3" t="s">
        <v>51</v>
      </c>
      <c r="I3" t="s">
        <v>52</v>
      </c>
      <c r="J3" t="s">
        <v>53</v>
      </c>
      <c r="N3" t="str" cm="1">
        <f t="array" ref="N3">INDEX(D3:M3, MAX(IF(D3:M3&lt;&gt;"", COLUMN(D3:M3)-COLUMN(D3)+1)))</f>
        <v>tgUSD*</v>
      </c>
    </row>
    <row r="4" spans="1:14" x14ac:dyDescent="0.25">
      <c r="A4" t="s">
        <v>8</v>
      </c>
      <c r="B4" t="s">
        <v>9</v>
      </c>
      <c r="C4" t="s">
        <v>14</v>
      </c>
      <c r="D4" t="s">
        <v>15</v>
      </c>
      <c r="E4" t="s">
        <v>54</v>
      </c>
      <c r="F4" t="s">
        <v>54</v>
      </c>
      <c r="G4" t="s">
        <v>57</v>
      </c>
      <c r="H4" t="s">
        <v>53</v>
      </c>
      <c r="N4" t="str" cm="1">
        <f t="array" ref="N4">INDEX(D4:M4, MAX(IF(D4:M4&lt;&gt;"", COLUMN(D4:M4)-COLUMN(D4)+1)))</f>
        <v>tgUSD*</v>
      </c>
    </row>
    <row r="5" spans="1:14" x14ac:dyDescent="0.25">
      <c r="A5" t="s">
        <v>8</v>
      </c>
      <c r="B5" t="s">
        <v>9</v>
      </c>
      <c r="C5" t="s">
        <v>16</v>
      </c>
      <c r="D5" t="s">
        <v>17</v>
      </c>
      <c r="E5" t="s">
        <v>55</v>
      </c>
      <c r="F5" t="s">
        <v>55</v>
      </c>
      <c r="G5" t="s">
        <v>58</v>
      </c>
      <c r="H5" t="s">
        <v>53</v>
      </c>
      <c r="N5" t="str" cm="1">
        <f t="array" ref="N5">INDEX(D5:M5, MAX(IF(D5:M5&lt;&gt;"", COLUMN(D5:M5)-COLUMN(D5)+1)))</f>
        <v>tgUSD*</v>
      </c>
    </row>
    <row r="6" spans="1:14" x14ac:dyDescent="0.25">
      <c r="A6" t="s">
        <v>8</v>
      </c>
      <c r="B6" t="s">
        <v>9</v>
      </c>
      <c r="C6" t="s">
        <v>18</v>
      </c>
      <c r="D6" t="s">
        <v>19</v>
      </c>
      <c r="E6" t="s">
        <v>56</v>
      </c>
      <c r="F6" t="s">
        <v>56</v>
      </c>
      <c r="G6" t="s">
        <v>59</v>
      </c>
      <c r="H6" t="s">
        <v>53</v>
      </c>
      <c r="N6" t="str" cm="1">
        <f t="array" ref="N6">INDEX(D6:M6, MAX(IF(D6:M6&lt;&gt;"", COLUMN(D6:M6)-COLUMN(D6)+1)))</f>
        <v>tgUSD*</v>
      </c>
    </row>
    <row r="7" spans="1:14" x14ac:dyDescent="0.25">
      <c r="A7" t="s">
        <v>8</v>
      </c>
      <c r="B7" t="s">
        <v>9</v>
      </c>
      <c r="C7" t="s">
        <v>20</v>
      </c>
      <c r="D7" t="s">
        <v>21</v>
      </c>
      <c r="E7" t="s">
        <v>22</v>
      </c>
      <c r="F7" t="s">
        <v>23</v>
      </c>
      <c r="G7" t="s">
        <v>60</v>
      </c>
      <c r="H7" t="s">
        <v>60</v>
      </c>
      <c r="I7" t="s">
        <v>61</v>
      </c>
      <c r="J7" t="s">
        <v>53</v>
      </c>
      <c r="N7" t="str" cm="1">
        <f t="array" ref="N7">INDEX(D7:M7, MAX(IF(D7:M7&lt;&gt;"", COLUMN(D7:M7)-COLUMN(D7)+1)))</f>
        <v>tgUSD*</v>
      </c>
    </row>
    <row r="8" spans="1:14" x14ac:dyDescent="0.25">
      <c r="A8" t="s">
        <v>24</v>
      </c>
      <c r="B8" t="s">
        <v>9</v>
      </c>
      <c r="C8" t="s">
        <v>62</v>
      </c>
      <c r="D8" t="s">
        <v>53</v>
      </c>
      <c r="N8" t="str" cm="1">
        <f t="array" ref="N8">INDEX(D8:M8, MAX(IF(D8:M8&lt;&gt;"", COLUMN(D8:M8)-COLUMN(D8)+1)))</f>
        <v>tgUSD*</v>
      </c>
    </row>
    <row r="9" spans="1:14" x14ac:dyDescent="0.25">
      <c r="A9" t="s">
        <v>24</v>
      </c>
      <c r="B9" t="s">
        <v>15</v>
      </c>
      <c r="C9" t="s">
        <v>25</v>
      </c>
      <c r="D9" t="s">
        <v>13</v>
      </c>
      <c r="E9" t="s">
        <v>51</v>
      </c>
      <c r="F9" t="s">
        <v>51</v>
      </c>
      <c r="G9" t="s">
        <v>52</v>
      </c>
      <c r="H9" t="s">
        <v>53</v>
      </c>
      <c r="N9" t="str" cm="1">
        <f t="array" ref="N9">INDEX(D9:M9, MAX(IF(D9:M9&lt;&gt;"", COLUMN(D9:M9)-COLUMN(D9)+1)))</f>
        <v>tgUSD*</v>
      </c>
    </row>
    <row r="10" spans="1:14" x14ac:dyDescent="0.25">
      <c r="A10" t="s">
        <v>24</v>
      </c>
      <c r="B10" t="s">
        <v>15</v>
      </c>
      <c r="C10" t="s">
        <v>54</v>
      </c>
      <c r="D10" t="s">
        <v>54</v>
      </c>
      <c r="E10" t="s">
        <v>57</v>
      </c>
      <c r="F10" t="s">
        <v>53</v>
      </c>
      <c r="N10" t="str" cm="1">
        <f t="array" ref="N10">INDEX(D10:M10, MAX(IF(D10:M10&lt;&gt;"", COLUMN(D10:M10)-COLUMN(D10)+1)))</f>
        <v>tgUSD*</v>
      </c>
    </row>
    <row r="11" spans="1:14" x14ac:dyDescent="0.25">
      <c r="A11" t="s">
        <v>24</v>
      </c>
      <c r="B11" t="s">
        <v>9</v>
      </c>
      <c r="C11" t="s">
        <v>16</v>
      </c>
      <c r="D11" t="s">
        <v>17</v>
      </c>
      <c r="E11" t="s">
        <v>55</v>
      </c>
      <c r="F11" t="s">
        <v>55</v>
      </c>
      <c r="G11" t="s">
        <v>58</v>
      </c>
      <c r="H11" t="s">
        <v>53</v>
      </c>
      <c r="N11" t="str" cm="1">
        <f t="array" ref="N11">INDEX(D11:M11, MAX(IF(D11:M11&lt;&gt;"", COLUMN(D11:M11)-COLUMN(D11)+1)))</f>
        <v>tgUSD*</v>
      </c>
    </row>
    <row r="12" spans="1:14" x14ac:dyDescent="0.25">
      <c r="A12" t="s">
        <v>24</v>
      </c>
      <c r="B12" t="s">
        <v>9</v>
      </c>
      <c r="C12" t="s">
        <v>18</v>
      </c>
      <c r="D12" t="s">
        <v>19</v>
      </c>
      <c r="E12" t="s">
        <v>56</v>
      </c>
      <c r="F12" t="s">
        <v>56</v>
      </c>
      <c r="G12" t="s">
        <v>59</v>
      </c>
      <c r="H12" t="s">
        <v>53</v>
      </c>
      <c r="N12" t="str" cm="1">
        <f t="array" ref="N12">INDEX(D12:M12, MAX(IF(D12:M12&lt;&gt;"", COLUMN(D12:M12)-COLUMN(D12)+1)))</f>
        <v>tgUSD*</v>
      </c>
    </row>
    <row r="13" spans="1:14" x14ac:dyDescent="0.25">
      <c r="A13" t="s">
        <v>24</v>
      </c>
      <c r="B13" t="s">
        <v>9</v>
      </c>
      <c r="C13" t="s">
        <v>20</v>
      </c>
      <c r="D13" t="s">
        <v>21</v>
      </c>
      <c r="E13" t="s">
        <v>22</v>
      </c>
      <c r="F13" t="s">
        <v>23</v>
      </c>
      <c r="G13" t="s">
        <v>60</v>
      </c>
      <c r="H13" t="s">
        <v>60</v>
      </c>
      <c r="I13" t="s">
        <v>61</v>
      </c>
      <c r="J13" t="s">
        <v>53</v>
      </c>
      <c r="N13" t="str" cm="1">
        <f t="array" ref="N13">INDEX(D13:M13, MAX(IF(D13:M13&lt;&gt;"", COLUMN(D13:M13)-COLUMN(D13)+1)))</f>
        <v>tgUSD*</v>
      </c>
    </row>
    <row r="14" spans="1:14" x14ac:dyDescent="0.25">
      <c r="A14" t="s">
        <v>26</v>
      </c>
      <c r="B14" t="s">
        <v>27</v>
      </c>
      <c r="C14" t="s">
        <v>28</v>
      </c>
      <c r="D14" t="s">
        <v>9</v>
      </c>
      <c r="E14" t="s">
        <v>62</v>
      </c>
      <c r="F14" t="s">
        <v>53</v>
      </c>
      <c r="N14" t="str" cm="1">
        <f t="array" ref="N14">INDEX(D14:M14, MAX(IF(D14:M14&lt;&gt;"", COLUMN(D14:M14)-COLUMN(D14)+1)))</f>
        <v>tgUSD*</v>
      </c>
    </row>
    <row r="15" spans="1:14" x14ac:dyDescent="0.25">
      <c r="A15" t="s">
        <v>26</v>
      </c>
      <c r="B15" t="s">
        <v>15</v>
      </c>
      <c r="C15" t="s">
        <v>25</v>
      </c>
      <c r="D15" t="s">
        <v>13</v>
      </c>
      <c r="E15" t="s">
        <v>51</v>
      </c>
      <c r="F15" t="s">
        <v>51</v>
      </c>
      <c r="G15" t="s">
        <v>52</v>
      </c>
      <c r="H15" t="s">
        <v>53</v>
      </c>
      <c r="N15" t="str" cm="1">
        <f t="array" ref="N15">INDEX(D15:M15, MAX(IF(D15:M15&lt;&gt;"", COLUMN(D15:M15)-COLUMN(D15)+1)))</f>
        <v>tgUSD*</v>
      </c>
    </row>
    <row r="16" spans="1:14" x14ac:dyDescent="0.25">
      <c r="A16" t="s">
        <v>26</v>
      </c>
      <c r="B16" t="s">
        <v>15</v>
      </c>
      <c r="C16" t="s">
        <v>54</v>
      </c>
      <c r="D16" t="s">
        <v>54</v>
      </c>
      <c r="E16" t="s">
        <v>57</v>
      </c>
      <c r="F16" t="s">
        <v>53</v>
      </c>
      <c r="N16" t="str" cm="1">
        <f t="array" ref="N16">INDEX(D16:M16, MAX(IF(D16:M16&lt;&gt;"", COLUMN(D16:M16)-COLUMN(D16)+1)))</f>
        <v>tgUSD*</v>
      </c>
    </row>
    <row r="17" spans="1:14" x14ac:dyDescent="0.25">
      <c r="A17" t="s">
        <v>26</v>
      </c>
      <c r="B17" t="s">
        <v>27</v>
      </c>
      <c r="C17" t="s">
        <v>28</v>
      </c>
      <c r="D17" t="s">
        <v>9</v>
      </c>
      <c r="E17" t="s">
        <v>16</v>
      </c>
      <c r="F17" t="s">
        <v>17</v>
      </c>
      <c r="G17" t="s">
        <v>55</v>
      </c>
      <c r="H17" t="s">
        <v>55</v>
      </c>
      <c r="I17" t="s">
        <v>58</v>
      </c>
      <c r="J17" t="s">
        <v>53</v>
      </c>
      <c r="N17" t="str" cm="1">
        <f t="array" ref="N17">INDEX(D17:M17, MAX(IF(D17:M17&lt;&gt;"", COLUMN(D17:M17)-COLUMN(D17)+1)))</f>
        <v>tgUSD*</v>
      </c>
    </row>
    <row r="18" spans="1:14" x14ac:dyDescent="0.25">
      <c r="A18" t="s">
        <v>26</v>
      </c>
      <c r="B18" t="s">
        <v>15</v>
      </c>
      <c r="C18" t="s">
        <v>29</v>
      </c>
      <c r="D18" t="s">
        <v>21</v>
      </c>
      <c r="E18" t="s">
        <v>22</v>
      </c>
      <c r="F18" t="s">
        <v>23</v>
      </c>
      <c r="G18" t="s">
        <v>60</v>
      </c>
      <c r="H18" t="s">
        <v>60</v>
      </c>
      <c r="I18" t="s">
        <v>61</v>
      </c>
      <c r="J18" t="s">
        <v>53</v>
      </c>
      <c r="N18" t="str" cm="1">
        <f t="array" ref="N18">INDEX(D18:M18, MAX(IF(D18:M18&lt;&gt;"", COLUMN(D18:M18)-COLUMN(D18)+1)))</f>
        <v>tgUSD*</v>
      </c>
    </row>
    <row r="19" spans="1:14" x14ac:dyDescent="0.25">
      <c r="A19" t="s">
        <v>30</v>
      </c>
      <c r="B19" t="s">
        <v>31</v>
      </c>
      <c r="C19" t="s">
        <v>32</v>
      </c>
      <c r="D19" t="s">
        <v>13</v>
      </c>
      <c r="E19" t="s">
        <v>51</v>
      </c>
      <c r="F19" t="s">
        <v>51</v>
      </c>
      <c r="G19" t="s">
        <v>52</v>
      </c>
      <c r="H19" t="s">
        <v>53</v>
      </c>
      <c r="N19" t="str" cm="1">
        <f t="array" ref="N19">INDEX(D19:M19, MAX(IF(D19:M19&lt;&gt;"", COLUMN(D19:M19)-COLUMN(D19)+1)))</f>
        <v>tgUSD*</v>
      </c>
    </row>
    <row r="20" spans="1:14" x14ac:dyDescent="0.25">
      <c r="A20" t="s">
        <v>30</v>
      </c>
      <c r="B20" t="s">
        <v>31</v>
      </c>
      <c r="C20" t="s">
        <v>33</v>
      </c>
      <c r="D20" t="s">
        <v>34</v>
      </c>
      <c r="E20" t="s">
        <v>34</v>
      </c>
      <c r="F20" t="s">
        <v>15</v>
      </c>
      <c r="G20" t="s">
        <v>54</v>
      </c>
      <c r="H20" t="s">
        <v>54</v>
      </c>
      <c r="I20" t="s">
        <v>57</v>
      </c>
      <c r="J20" t="s">
        <v>53</v>
      </c>
      <c r="N20" t="str" cm="1">
        <f t="array" ref="N20">INDEX(D20:M20, MAX(IF(D20:M20&lt;&gt;"", COLUMN(D20:M20)-COLUMN(D20)+1)))</f>
        <v>tgUSD*</v>
      </c>
    </row>
    <row r="21" spans="1:14" x14ac:dyDescent="0.25">
      <c r="A21" t="s">
        <v>30</v>
      </c>
      <c r="B21" t="s">
        <v>31</v>
      </c>
      <c r="C21" t="s">
        <v>32</v>
      </c>
      <c r="D21" t="s">
        <v>13</v>
      </c>
      <c r="E21" t="s">
        <v>35</v>
      </c>
      <c r="F21" t="s">
        <v>17</v>
      </c>
      <c r="G21" t="s">
        <v>55</v>
      </c>
      <c r="H21" t="s">
        <v>55</v>
      </c>
      <c r="I21" t="s">
        <v>58</v>
      </c>
      <c r="J21" t="s">
        <v>53</v>
      </c>
      <c r="N21" t="str" cm="1">
        <f t="array" ref="N21">INDEX(D21:M21, MAX(IF(D21:M21&lt;&gt;"", COLUMN(D21:M21)-COLUMN(D21)+1)))</f>
        <v>tgUSD*</v>
      </c>
    </row>
    <row r="22" spans="1:14" x14ac:dyDescent="0.25">
      <c r="A22" t="s">
        <v>30</v>
      </c>
      <c r="B22" t="s">
        <v>31</v>
      </c>
      <c r="C22" t="s">
        <v>31</v>
      </c>
      <c r="D22" t="s">
        <v>19</v>
      </c>
      <c r="E22" t="s">
        <v>56</v>
      </c>
      <c r="F22" t="s">
        <v>56</v>
      </c>
      <c r="G22" t="s">
        <v>59</v>
      </c>
      <c r="H22" t="s">
        <v>53</v>
      </c>
      <c r="N22" t="str" cm="1">
        <f t="array" ref="N22">INDEX(D22:M22, MAX(IF(D22:M22&lt;&gt;"", COLUMN(D22:M22)-COLUMN(D22)+1)))</f>
        <v>tgUSD*</v>
      </c>
    </row>
    <row r="23" spans="1:14" x14ac:dyDescent="0.25">
      <c r="A23" t="s">
        <v>30</v>
      </c>
      <c r="B23" t="s">
        <v>36</v>
      </c>
      <c r="C23" t="s">
        <v>37</v>
      </c>
      <c r="D23" t="s">
        <v>21</v>
      </c>
      <c r="E23" t="s">
        <v>22</v>
      </c>
      <c r="F23" t="s">
        <v>23</v>
      </c>
      <c r="G23" t="s">
        <v>60</v>
      </c>
      <c r="H23" t="s">
        <v>60</v>
      </c>
      <c r="I23" t="s">
        <v>61</v>
      </c>
      <c r="J23" t="s">
        <v>53</v>
      </c>
      <c r="N23" t="str" cm="1">
        <f t="array" ref="N23">INDEX(D23:M23, MAX(IF(D23:M23&lt;&gt;"", COLUMN(D23:M23)-COLUMN(D23)+1)))</f>
        <v>tgUSD*</v>
      </c>
    </row>
    <row r="24" spans="1:14" x14ac:dyDescent="0.25">
      <c r="A24" t="s">
        <v>38</v>
      </c>
      <c r="B24" t="s">
        <v>9</v>
      </c>
      <c r="C24" t="s">
        <v>62</v>
      </c>
      <c r="D24" t="s">
        <v>53</v>
      </c>
      <c r="N24" t="str" cm="1">
        <f t="array" ref="N24">INDEX(D24:M24, MAX(IF(D24:M24&lt;&gt;"", COLUMN(D24:M24)-COLUMN(D24)+1)))</f>
        <v>tgUSD*</v>
      </c>
    </row>
    <row r="25" spans="1:14" x14ac:dyDescent="0.25">
      <c r="A25" t="s">
        <v>38</v>
      </c>
      <c r="B25" t="s">
        <v>27</v>
      </c>
      <c r="C25" t="s">
        <v>39</v>
      </c>
      <c r="D25" t="s">
        <v>11</v>
      </c>
      <c r="E25" t="s">
        <v>12</v>
      </c>
      <c r="F25" t="s">
        <v>13</v>
      </c>
      <c r="G25" t="s">
        <v>51</v>
      </c>
      <c r="H25" t="s">
        <v>51</v>
      </c>
      <c r="I25" t="s">
        <v>52</v>
      </c>
      <c r="J25" t="s">
        <v>53</v>
      </c>
      <c r="N25" t="str" cm="1">
        <f t="array" ref="N25">INDEX(D25:M25, MAX(IF(D25:M25&lt;&gt;"", COLUMN(D25:M25)-COLUMN(D25)+1)))</f>
        <v>tgUSD*</v>
      </c>
    </row>
    <row r="26" spans="1:14" x14ac:dyDescent="0.25">
      <c r="A26" t="s">
        <v>38</v>
      </c>
      <c r="B26" t="s">
        <v>27</v>
      </c>
      <c r="C26" t="s">
        <v>40</v>
      </c>
      <c r="D26" t="s">
        <v>15</v>
      </c>
      <c r="E26" t="s">
        <v>54</v>
      </c>
      <c r="F26" t="s">
        <v>54</v>
      </c>
      <c r="G26" t="s">
        <v>57</v>
      </c>
      <c r="H26" t="s">
        <v>53</v>
      </c>
      <c r="N26" t="str" cm="1">
        <f t="array" ref="N26">INDEX(D26:M26, MAX(IF(D26:M26&lt;&gt;"", COLUMN(D26:M26)-COLUMN(D26)+1)))</f>
        <v>tgUSD*</v>
      </c>
    </row>
    <row r="27" spans="1:14" x14ac:dyDescent="0.25">
      <c r="A27" t="s">
        <v>38</v>
      </c>
      <c r="B27" t="s">
        <v>9</v>
      </c>
      <c r="C27" t="s">
        <v>16</v>
      </c>
      <c r="D27" t="s">
        <v>17</v>
      </c>
      <c r="E27" t="s">
        <v>55</v>
      </c>
      <c r="F27" t="s">
        <v>55</v>
      </c>
      <c r="G27" t="s">
        <v>58</v>
      </c>
      <c r="H27" t="s">
        <v>53</v>
      </c>
      <c r="N27" t="str" cm="1">
        <f t="array" ref="N27">INDEX(D27:M27, MAX(IF(D27:M27&lt;&gt;"", COLUMN(D27:M27)-COLUMN(D27)+1)))</f>
        <v>tgUSD*</v>
      </c>
    </row>
    <row r="28" spans="1:14" x14ac:dyDescent="0.25">
      <c r="A28" t="s">
        <v>38</v>
      </c>
      <c r="B28" t="s">
        <v>9</v>
      </c>
      <c r="C28" t="s">
        <v>18</v>
      </c>
      <c r="D28" t="s">
        <v>19</v>
      </c>
      <c r="E28" t="s">
        <v>56</v>
      </c>
      <c r="F28" t="s">
        <v>56</v>
      </c>
      <c r="G28" t="s">
        <v>59</v>
      </c>
      <c r="H28" t="s">
        <v>53</v>
      </c>
      <c r="N28" t="str" cm="1">
        <f t="array" ref="N28">INDEX(D28:M28, MAX(IF(D28:M28&lt;&gt;"", COLUMN(D28:M28)-COLUMN(D28)+1)))</f>
        <v>tgUSD*</v>
      </c>
    </row>
    <row r="29" spans="1:14" x14ac:dyDescent="0.25">
      <c r="A29" t="s">
        <v>38</v>
      </c>
      <c r="B29" t="s">
        <v>9</v>
      </c>
      <c r="C29" t="s">
        <v>20</v>
      </c>
      <c r="D29" t="s">
        <v>21</v>
      </c>
      <c r="E29" t="s">
        <v>22</v>
      </c>
      <c r="F29" t="s">
        <v>23</v>
      </c>
      <c r="G29" t="s">
        <v>60</v>
      </c>
      <c r="H29" t="s">
        <v>60</v>
      </c>
      <c r="I29" t="s">
        <v>61</v>
      </c>
      <c r="J29" t="s">
        <v>53</v>
      </c>
      <c r="N29" t="str" cm="1">
        <f t="array" ref="N29">INDEX(D29:M29, MAX(IF(D29:M29&lt;&gt;"", COLUMN(D29:M29)-COLUMN(D29)+1)))</f>
        <v>tgUSD*</v>
      </c>
    </row>
    <row r="30" spans="1:14" x14ac:dyDescent="0.25">
      <c r="A30" t="s">
        <v>41</v>
      </c>
      <c r="B30" t="s">
        <v>17</v>
      </c>
      <c r="C30" t="s">
        <v>16</v>
      </c>
      <c r="D30" t="s">
        <v>9</v>
      </c>
      <c r="E30" t="s">
        <v>62</v>
      </c>
      <c r="F30" t="s">
        <v>53</v>
      </c>
      <c r="N30" t="str" cm="1">
        <f t="array" ref="N30">INDEX(D30:M30, MAX(IF(D30:M30&lt;&gt;"", COLUMN(D30:M30)-COLUMN(D30)+1)))</f>
        <v>tgUSD*</v>
      </c>
    </row>
    <row r="31" spans="1:14" x14ac:dyDescent="0.25">
      <c r="A31" t="s">
        <v>41</v>
      </c>
      <c r="B31" t="s">
        <v>17</v>
      </c>
      <c r="C31" t="s">
        <v>35</v>
      </c>
      <c r="D31" t="s">
        <v>13</v>
      </c>
      <c r="E31" t="s">
        <v>51</v>
      </c>
      <c r="F31" t="s">
        <v>51</v>
      </c>
      <c r="G31" t="s">
        <v>52</v>
      </c>
      <c r="H31" t="s">
        <v>53</v>
      </c>
      <c r="N31" t="str" cm="1">
        <f t="array" ref="N31">INDEX(D31:M31, MAX(IF(D31:M31&lt;&gt;"", COLUMN(D31:M31)-COLUMN(D31)+1)))</f>
        <v>tgUSD*</v>
      </c>
    </row>
    <row r="32" spans="1:14" x14ac:dyDescent="0.25">
      <c r="A32" t="s">
        <v>41</v>
      </c>
      <c r="B32" t="s">
        <v>17</v>
      </c>
      <c r="C32" t="s">
        <v>16</v>
      </c>
      <c r="D32" t="s">
        <v>9</v>
      </c>
      <c r="E32" t="s">
        <v>14</v>
      </c>
      <c r="F32" t="s">
        <v>15</v>
      </c>
      <c r="G32" t="s">
        <v>54</v>
      </c>
      <c r="H32" t="s">
        <v>54</v>
      </c>
      <c r="I32" t="s">
        <v>57</v>
      </c>
      <c r="J32" t="s">
        <v>53</v>
      </c>
      <c r="N32" t="str" cm="1">
        <f t="array" ref="N32">INDEX(D32:M32, MAX(IF(D32:M32&lt;&gt;"", COLUMN(D32:M32)-COLUMN(D32)+1)))</f>
        <v>tgUSD*</v>
      </c>
    </row>
    <row r="33" spans="1:23" x14ac:dyDescent="0.25">
      <c r="A33" t="s">
        <v>41</v>
      </c>
      <c r="B33" t="s">
        <v>17</v>
      </c>
      <c r="C33" t="s">
        <v>55</v>
      </c>
      <c r="D33" t="s">
        <v>55</v>
      </c>
      <c r="E33" t="s">
        <v>58</v>
      </c>
      <c r="F33" t="s">
        <v>53</v>
      </c>
      <c r="N33" t="str" cm="1">
        <f t="array" ref="N33">INDEX(D33:M33, MAX(IF(D33:M33&lt;&gt;"", COLUMN(D33:M33)-COLUMN(D33)+1)))</f>
        <v>tgUSD*</v>
      </c>
    </row>
    <row r="34" spans="1:23" x14ac:dyDescent="0.25">
      <c r="A34" t="s">
        <v>41</v>
      </c>
      <c r="B34" t="s">
        <v>17</v>
      </c>
      <c r="C34" t="s">
        <v>16</v>
      </c>
      <c r="D34" t="s">
        <v>9</v>
      </c>
      <c r="E34" t="s">
        <v>18</v>
      </c>
      <c r="F34" t="s">
        <v>19</v>
      </c>
      <c r="G34" t="s">
        <v>56</v>
      </c>
      <c r="H34" t="s">
        <v>56</v>
      </c>
      <c r="I34" t="s">
        <v>59</v>
      </c>
      <c r="J34" t="s">
        <v>53</v>
      </c>
      <c r="N34" t="str" cm="1">
        <f t="array" ref="N34">INDEX(D34:M34, MAX(IF(D34:M34&lt;&gt;"", COLUMN(D34:M34)-COLUMN(D34)+1)))</f>
        <v>tgUSD*</v>
      </c>
    </row>
    <row r="35" spans="1:23" x14ac:dyDescent="0.25">
      <c r="K35" s="2"/>
      <c r="L35" s="2"/>
      <c r="N35" cm="1">
        <f t="array" ref="N35:W35">INDEX(D35:M35, MAX(IF(D35:M35&lt;&gt;"", COLUMN(D35:M35)-COLUMN(D35)+1)))</f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42</v>
      </c>
      <c r="B36" t="s">
        <v>19</v>
      </c>
      <c r="C36" t="s">
        <v>18</v>
      </c>
      <c r="D36" t="s">
        <v>9</v>
      </c>
      <c r="E36" t="s">
        <v>62</v>
      </c>
      <c r="F36" t="s">
        <v>53</v>
      </c>
      <c r="N36" t="str" cm="1">
        <f t="array" ref="N36">INDEX(D36:M36, MAX(IF(D36:M36&lt;&gt;"", COLUMN(D36:M36)-COLUMN(D36)+1)))</f>
        <v>tgUSD*</v>
      </c>
    </row>
    <row r="37" spans="1:23" x14ac:dyDescent="0.25">
      <c r="A37" t="s">
        <v>42</v>
      </c>
      <c r="B37" t="s">
        <v>23</v>
      </c>
      <c r="C37" t="s">
        <v>43</v>
      </c>
      <c r="D37" t="s">
        <v>44</v>
      </c>
      <c r="E37" t="s">
        <v>45</v>
      </c>
      <c r="F37" t="s">
        <v>13</v>
      </c>
      <c r="G37" t="s">
        <v>51</v>
      </c>
      <c r="H37" t="s">
        <v>51</v>
      </c>
      <c r="I37" t="s">
        <v>52</v>
      </c>
      <c r="J37" t="s">
        <v>53</v>
      </c>
      <c r="N37" t="str" cm="1">
        <f t="array" ref="N37">INDEX(D37:M37, MAX(IF(D37:M37&lt;&gt;"", COLUMN(D37:M37)-COLUMN(D37)+1)))</f>
        <v>tgUSD*</v>
      </c>
    </row>
    <row r="38" spans="1:23" x14ac:dyDescent="0.25">
      <c r="A38" t="s">
        <v>42</v>
      </c>
      <c r="B38" t="s">
        <v>19</v>
      </c>
      <c r="C38" t="s">
        <v>46</v>
      </c>
      <c r="D38" t="s">
        <v>15</v>
      </c>
      <c r="E38" t="s">
        <v>54</v>
      </c>
      <c r="F38" t="s">
        <v>54</v>
      </c>
      <c r="G38" t="s">
        <v>57</v>
      </c>
      <c r="H38" t="s">
        <v>53</v>
      </c>
      <c r="N38" t="str" cm="1">
        <f t="array" ref="N38">INDEX(D38:M38, MAX(IF(D38:M38&lt;&gt;"", COLUMN(D38:M38)-COLUMN(D38)+1)))</f>
        <v>tgUSD*</v>
      </c>
    </row>
    <row r="39" spans="1:23" x14ac:dyDescent="0.25">
      <c r="A39" t="s">
        <v>42</v>
      </c>
      <c r="B39" t="s">
        <v>19</v>
      </c>
      <c r="C39" t="s">
        <v>18</v>
      </c>
      <c r="D39" t="s">
        <v>9</v>
      </c>
      <c r="E39" t="s">
        <v>16</v>
      </c>
      <c r="F39" t="s">
        <v>17</v>
      </c>
      <c r="G39" t="s">
        <v>55</v>
      </c>
      <c r="H39" t="s">
        <v>55</v>
      </c>
      <c r="I39" t="s">
        <v>58</v>
      </c>
      <c r="J39" t="s">
        <v>53</v>
      </c>
      <c r="N39" t="str" cm="1">
        <f t="array" ref="N39">INDEX(D39:M39, MAX(IF(D39:M39&lt;&gt;"", COLUMN(D39:M39)-COLUMN(D39)+1)))</f>
        <v>tgUSD*</v>
      </c>
    </row>
    <row r="40" spans="1:23" x14ac:dyDescent="0.25">
      <c r="A40" t="s">
        <v>42</v>
      </c>
      <c r="B40" t="s">
        <v>19</v>
      </c>
      <c r="C40" t="s">
        <v>56</v>
      </c>
      <c r="D40" t="s">
        <v>56</v>
      </c>
      <c r="E40" t="s">
        <v>59</v>
      </c>
      <c r="F40" t="s">
        <v>53</v>
      </c>
      <c r="N40" t="str" cm="1">
        <f t="array" ref="N40">INDEX(D40:M40, MAX(IF(D40:M40&lt;&gt;"", COLUMN(D40:M40)-COLUMN(D40)+1)))</f>
        <v>tgUSD*</v>
      </c>
    </row>
    <row r="41" spans="1:23" x14ac:dyDescent="0.25">
      <c r="A41" t="s">
        <v>42</v>
      </c>
      <c r="B41" t="s">
        <v>23</v>
      </c>
      <c r="C41" t="s">
        <v>60</v>
      </c>
      <c r="D41" t="s">
        <v>60</v>
      </c>
      <c r="E41" t="s">
        <v>61</v>
      </c>
      <c r="F41" t="s">
        <v>53</v>
      </c>
      <c r="N41" t="str" cm="1">
        <f t="array" ref="N41">INDEX(D41:M41, MAX(IF(D41:M41&lt;&gt;"", COLUMN(D41:M41)-COLUMN(D41)+1)))</f>
        <v>tgUSD*</v>
      </c>
    </row>
    <row r="42" spans="1:23" x14ac:dyDescent="0.25">
      <c r="A42" t="s">
        <v>35</v>
      </c>
      <c r="B42" t="s">
        <v>17</v>
      </c>
      <c r="C42" t="s">
        <v>16</v>
      </c>
      <c r="D42" t="s">
        <v>9</v>
      </c>
      <c r="E42" t="s">
        <v>62</v>
      </c>
      <c r="F42" t="s">
        <v>53</v>
      </c>
      <c r="N42" t="str" cm="1">
        <f t="array" ref="N42">INDEX(D42:M42, MAX(IF(D42:M42&lt;&gt;"", COLUMN(D42:M42)-COLUMN(D42)+1)))</f>
        <v>tgUSD*</v>
      </c>
    </row>
    <row r="43" spans="1:23" x14ac:dyDescent="0.25">
      <c r="A43" t="s">
        <v>35</v>
      </c>
      <c r="B43" t="s">
        <v>13</v>
      </c>
      <c r="C43" t="s">
        <v>51</v>
      </c>
      <c r="D43" t="s">
        <v>51</v>
      </c>
      <c r="E43" t="s">
        <v>52</v>
      </c>
      <c r="F43" t="s">
        <v>53</v>
      </c>
      <c r="N43" t="str" cm="1">
        <f t="array" ref="N43">INDEX(D43:M43, MAX(IF(D43:M43&lt;&gt;"", COLUMN(D43:M43)-COLUMN(D43)+1)))</f>
        <v>tgUSD*</v>
      </c>
    </row>
    <row r="44" spans="1:23" x14ac:dyDescent="0.25">
      <c r="A44" t="s">
        <v>35</v>
      </c>
      <c r="B44" t="s">
        <v>13</v>
      </c>
      <c r="C44" t="s">
        <v>47</v>
      </c>
      <c r="D44" t="s">
        <v>34</v>
      </c>
      <c r="E44" t="s">
        <v>34</v>
      </c>
      <c r="F44" t="s">
        <v>15</v>
      </c>
      <c r="G44" t="s">
        <v>54</v>
      </c>
      <c r="H44" t="s">
        <v>54</v>
      </c>
      <c r="I44" t="s">
        <v>57</v>
      </c>
      <c r="J44" t="s">
        <v>53</v>
      </c>
      <c r="N44" t="str" cm="1">
        <f t="array" ref="N44">INDEX(D44:M44, MAX(IF(D44:M44&lt;&gt;"", COLUMN(D44:M44)-COLUMN(D44)+1)))</f>
        <v>tgUSD*</v>
      </c>
    </row>
    <row r="45" spans="1:23" x14ac:dyDescent="0.25">
      <c r="A45" t="s">
        <v>35</v>
      </c>
      <c r="B45" t="s">
        <v>17</v>
      </c>
      <c r="C45" t="s">
        <v>55</v>
      </c>
      <c r="D45" t="s">
        <v>55</v>
      </c>
      <c r="E45" t="s">
        <v>58</v>
      </c>
      <c r="F45" t="s">
        <v>53</v>
      </c>
      <c r="N45" t="str" cm="1">
        <f t="array" ref="N45">INDEX(D45:M45, MAX(IF(D45:M45&lt;&gt;"", COLUMN(D45:M45)-COLUMN(D45)+1)))</f>
        <v>tgUSD*</v>
      </c>
    </row>
    <row r="46" spans="1:23" x14ac:dyDescent="0.25">
      <c r="A46" s="4" t="s">
        <v>35</v>
      </c>
      <c r="B46" s="4" t="s">
        <v>13</v>
      </c>
      <c r="C46" s="4" t="s">
        <v>32</v>
      </c>
      <c r="D46" s="4" t="s">
        <v>31</v>
      </c>
      <c r="E46" s="4" t="s">
        <v>31</v>
      </c>
      <c r="F46" s="4" t="s">
        <v>19</v>
      </c>
      <c r="G46" s="4" t="s">
        <v>56</v>
      </c>
      <c r="H46" s="4" t="s">
        <v>56</v>
      </c>
      <c r="I46" s="4" t="s">
        <v>59</v>
      </c>
      <c r="J46" s="4" t="s">
        <v>53</v>
      </c>
      <c r="N46" t="str" cm="1">
        <f t="array" ref="N46">INDEX(D46:M46, MAX(IF(D46:M46&lt;&gt;"", COLUMN(D46:M46)-COLUMN(D46)+1)))</f>
        <v>tgUSD*</v>
      </c>
    </row>
    <row r="47" spans="1:23" x14ac:dyDescent="0.25">
      <c r="A47" t="s">
        <v>35</v>
      </c>
      <c r="B47" t="s">
        <v>13</v>
      </c>
      <c r="C47" t="s">
        <v>45</v>
      </c>
      <c r="D47" t="s">
        <v>44</v>
      </c>
      <c r="E47" t="s">
        <v>43</v>
      </c>
      <c r="F47" t="s">
        <v>23</v>
      </c>
      <c r="G47" t="s">
        <v>60</v>
      </c>
      <c r="H47" t="s">
        <v>60</v>
      </c>
      <c r="I47" t="s">
        <v>61</v>
      </c>
      <c r="J47" t="s">
        <v>53</v>
      </c>
      <c r="N47" t="str" cm="1">
        <f t="array" ref="N47">INDEX(D47:M47, MAX(IF(D47:M47&lt;&gt;"", COLUMN(D47:M47)-COLUMN(D47)+1)))</f>
        <v>tgUSD*</v>
      </c>
    </row>
    <row r="48" spans="1:23" x14ac:dyDescent="0.25">
      <c r="A48" t="s">
        <v>33</v>
      </c>
      <c r="B48" t="s">
        <v>31</v>
      </c>
      <c r="C48" s="3" t="s">
        <v>32</v>
      </c>
      <c r="D48" s="3" t="s">
        <v>13</v>
      </c>
      <c r="E48" t="s">
        <v>51</v>
      </c>
      <c r="F48" t="s">
        <v>51</v>
      </c>
      <c r="G48" t="s">
        <v>52</v>
      </c>
      <c r="H48" t="s">
        <v>53</v>
      </c>
      <c r="N48" t="str" cm="1">
        <f t="array" ref="N48">INDEX(D48:M48, MAX(IF(D48:M48&lt;&gt;"", COLUMN(D48:M48)-COLUMN(D48)+1)))</f>
        <v>tgUSD*</v>
      </c>
    </row>
    <row r="49" spans="1:14" x14ac:dyDescent="0.25">
      <c r="A49" t="s">
        <v>33</v>
      </c>
      <c r="B49" t="s">
        <v>34</v>
      </c>
      <c r="C49" t="s">
        <v>34</v>
      </c>
      <c r="D49" t="s">
        <v>15</v>
      </c>
      <c r="E49" t="s">
        <v>54</v>
      </c>
      <c r="F49" t="s">
        <v>54</v>
      </c>
      <c r="G49" t="s">
        <v>57</v>
      </c>
      <c r="H49" t="s">
        <v>53</v>
      </c>
      <c r="N49" t="str" cm="1">
        <f t="array" ref="N49">INDEX(D49:M49, MAX(IF(D49:M49&lt;&gt;"", COLUMN(D49:M49)-COLUMN(D49)+1)))</f>
        <v>tgUSD*</v>
      </c>
    </row>
    <row r="50" spans="1:14" x14ac:dyDescent="0.25">
      <c r="A50" s="4"/>
      <c r="B50" s="4"/>
      <c r="C50" s="4"/>
      <c r="D50" s="4"/>
      <c r="E50" s="4"/>
      <c r="F50" s="4"/>
      <c r="G50" s="4"/>
      <c r="H50" s="4"/>
      <c r="I50" s="3"/>
      <c r="J50" s="3"/>
    </row>
    <row r="51" spans="1:14" x14ac:dyDescent="0.25">
      <c r="A51" t="s">
        <v>33</v>
      </c>
      <c r="B51" t="s">
        <v>34</v>
      </c>
      <c r="C51" t="s">
        <v>48</v>
      </c>
      <c r="D51" t="s">
        <v>44</v>
      </c>
      <c r="E51" t="s">
        <v>43</v>
      </c>
      <c r="F51" t="s">
        <v>23</v>
      </c>
      <c r="G51" t="s">
        <v>60</v>
      </c>
      <c r="H51" t="s">
        <v>60</v>
      </c>
      <c r="I51" t="s">
        <v>61</v>
      </c>
      <c r="J51" t="s">
        <v>53</v>
      </c>
      <c r="N51" t="str" cm="1">
        <f t="array" ref="N51">INDEX(D51:M51, MAX(IF(D51:M51&lt;&gt;"", COLUMN(D51:M51)-COLUMN(D51)+1)))</f>
        <v>tgUSD*</v>
      </c>
    </row>
  </sheetData>
  <conditionalFormatting sqref="N1:N1048576">
    <cfRule type="cellIs" dxfId="0" priority="1" operator="equal">
      <formula>"tgUSD*"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yann jezequel</cp:lastModifiedBy>
  <dcterms:created xsi:type="dcterms:W3CDTF">2025-03-21T07:53:07Z</dcterms:created>
  <dcterms:modified xsi:type="dcterms:W3CDTF">2025-03-28T16:00:17Z</dcterms:modified>
</cp:coreProperties>
</file>